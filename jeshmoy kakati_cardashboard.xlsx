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hm\Downloads\"/>
    </mc:Choice>
  </mc:AlternateContent>
  <xr:revisionPtr revIDLastSave="0" documentId="8_{8ECF0FA3-E97B-4888-B3FF-D51A53483632}" xr6:coauthVersionLast="47" xr6:coauthVersionMax="47" xr10:uidLastSave="{00000000-0000-0000-0000-000000000000}"/>
  <bookViews>
    <workbookView xWindow="-108" yWindow="-108" windowWidth="23256" windowHeight="12456" firstSheet="1" activeTab="2" xr2:uid="{41197D9A-C426-44CA-9AB3-20374A444062}"/>
  </bookViews>
  <sheets>
    <sheet name="CAR DETAILS FROM CAR DEKHO" sheetId="2" r:id="rId1"/>
    <sheet name="pivot table" sheetId="7" r:id="rId2"/>
    <sheet name="dashboard" sheetId="8" r:id="rId3"/>
    <sheet name="raw_data" sheetId="1" r:id="rId4"/>
    <sheet name="analysis" sheetId="3" r:id="rId5"/>
  </sheets>
  <definedNames>
    <definedName name="ExternalData_1" localSheetId="0" hidden="1">'CAR DETAILS FROM CAR DEKHO'!$A$1:$H$29</definedName>
    <definedName name="ExternalData_1" localSheetId="3" hidden="1">raw_data!$A$1:$H$29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8" l="1"/>
  <c r="E2" i="8"/>
  <c r="E3" i="8"/>
  <c r="B3" i="8"/>
  <c r="B2" i="8"/>
  <c r="B28" i="3"/>
  <c r="B30" i="3" s="1"/>
  <c r="B29" i="3"/>
  <c r="B22" i="3"/>
  <c r="B21" i="3"/>
  <c r="B18" i="3"/>
  <c r="B17" i="3"/>
  <c r="B16" i="3"/>
  <c r="B7" i="3"/>
  <c r="B13" i="3"/>
  <c r="B12" i="3"/>
  <c r="B9" i="3"/>
  <c r="B8" i="3"/>
  <c r="B2" i="3"/>
  <c r="B1" i="3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  <c r="J3" i="2"/>
  <c r="J2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25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10AA07-4C50-4EAE-8E6D-D0A297A3A756}" keepAlive="1" name="Query - CAR DETAILS FROM CAR DEKHO" description="Connection to the 'CAR DETAILS FROM CAR DEKHO' query in the workbook." type="5" refreshedVersion="8" background="1" saveData="1">
    <dbPr connection="Provider=Microsoft.Mashup.OleDb.1;Data Source=$Workbook$;Location=&quot;CAR DETAILS FROM CAR DEKHO&quot;;Extended Properties=&quot;&quot;" command="SELECT * FROM [CAR DETAILS FROM CAR DEKHO]"/>
  </connection>
  <connection id="2" xr16:uid="{BF8EF571-89FB-44C7-BB8F-7016033000A2}" keepAlive="1" name="Query - CAR DETAILS FROM CAR DEKHO (2)" description="Connection to the 'CAR DETAILS FROM CAR DEKHO (2)' query in the workbook." type="5" refreshedVersion="8" background="1" saveData="1">
    <dbPr connection="Provider=Microsoft.Mashup.OleDb.1;Data Source=$Workbook$;Location=&quot;CAR DETAILS FROM CAR DEKHO (2)&quot;;Extended Properties=&quot;&quot;" command="SELECT * FROM [CAR DETAILS FROM CAR DEKHO (2)]"/>
  </connection>
</connections>
</file>

<file path=xl/sharedStrings.xml><?xml version="1.0" encoding="utf-8"?>
<sst xmlns="http://schemas.openxmlformats.org/spreadsheetml/2006/main" count="356" uniqueCount="79">
  <si>
    <t>name</t>
  </si>
  <si>
    <t>year</t>
  </si>
  <si>
    <t>selling_price</t>
  </si>
  <si>
    <t>km_driven</t>
  </si>
  <si>
    <t>fuel</t>
  </si>
  <si>
    <t>seller_type</t>
  </si>
  <si>
    <t>transmission</t>
  </si>
  <si>
    <t>owner</t>
  </si>
  <si>
    <t>Maruti 800 AC</t>
  </si>
  <si>
    <t>Petrol</t>
  </si>
  <si>
    <t>Individual</t>
  </si>
  <si>
    <t>Manual</t>
  </si>
  <si>
    <t>First Owner</t>
  </si>
  <si>
    <t>Diesel</t>
  </si>
  <si>
    <t>Second Owner</t>
  </si>
  <si>
    <t>Automatic</t>
  </si>
  <si>
    <t>Third Owner</t>
  </si>
  <si>
    <t>Maruti Alto LXi</t>
  </si>
  <si>
    <t>Renault KWID RXT</t>
  </si>
  <si>
    <t>Maruti Swift Dzire VDI</t>
  </si>
  <si>
    <t>Tata Indica Vista Aqua 1.4 TDI</t>
  </si>
  <si>
    <t>Maruti 800 AC BSIII</t>
  </si>
  <si>
    <t>Maruti Alto LX</t>
  </si>
  <si>
    <t>Hyundai i20 Magna 1.4 CRDi (Diesel)</t>
  </si>
  <si>
    <t>Hyundai Verna 1.6 SX CRDi (O)</t>
  </si>
  <si>
    <t>Maruti Ritz VDi</t>
  </si>
  <si>
    <t>Ford EcoSport 1.5 TDCi Titanium BSIV</t>
  </si>
  <si>
    <t>Hyundai Creta 1.6 CRDi SX Option</t>
  </si>
  <si>
    <t>Mahindra Scorpio S2 7 Seater</t>
  </si>
  <si>
    <t>Nissan Terrano XL 85 PS</t>
  </si>
  <si>
    <t>Honda City 1.5 GXI</t>
  </si>
  <si>
    <t>Maruti Alto 800 Base</t>
  </si>
  <si>
    <t>Maruti Celerio ZXI</t>
  </si>
  <si>
    <t>Maruti Alto STD</t>
  </si>
  <si>
    <t>Tata Manza Aura Safire BS IV</t>
  </si>
  <si>
    <t>Ford Endeavour 2.2 Titanium AT 4X2</t>
  </si>
  <si>
    <t>Chevrolet Spark 1.0 LT BS3</t>
  </si>
  <si>
    <t>Maruti Swift LDI</t>
  </si>
  <si>
    <t>Tata Nano XM</t>
  </si>
  <si>
    <t>Mahindra Verito 1.5 D6 BSIII</t>
  </si>
  <si>
    <t>Toyota Innova 2.5 VX (Diesel) 8 Seater BS IV</t>
  </si>
  <si>
    <t>Hyundai i20 Magna 1.4 CRDi</t>
  </si>
  <si>
    <t>car age</t>
  </si>
  <si>
    <t>price category</t>
  </si>
  <si>
    <t>total numbers of cars</t>
  </si>
  <si>
    <t>average selling price</t>
  </si>
  <si>
    <t>petrol</t>
  </si>
  <si>
    <t>diesel</t>
  </si>
  <si>
    <t>most common fuel type</t>
  </si>
  <si>
    <t>cng</t>
  </si>
  <si>
    <t>total</t>
  </si>
  <si>
    <t>automatic</t>
  </si>
  <si>
    <t>transmisson type</t>
  </si>
  <si>
    <t>count</t>
  </si>
  <si>
    <t>manual count</t>
  </si>
  <si>
    <t>seller type</t>
  </si>
  <si>
    <t>dealer</t>
  </si>
  <si>
    <t>individual</t>
  </si>
  <si>
    <t>trustmark dealer</t>
  </si>
  <si>
    <t>fuel type</t>
  </si>
  <si>
    <t>cars older then 10 years</t>
  </si>
  <si>
    <t>metric</t>
  </si>
  <si>
    <t>value</t>
  </si>
  <si>
    <t>first owner count</t>
  </si>
  <si>
    <t>total cars</t>
  </si>
  <si>
    <t>% first owner</t>
  </si>
  <si>
    <t>Row Labels</t>
  </si>
  <si>
    <t>Grand Total</t>
  </si>
  <si>
    <t>Average of selling_price</t>
  </si>
  <si>
    <t>Count of name</t>
  </si>
  <si>
    <t>A Column</t>
  </si>
  <si>
    <t>B Column</t>
  </si>
  <si>
    <t>Total Cars</t>
  </si>
  <si>
    <t>Average Selling Price</t>
  </si>
  <si>
    <t>Most Used Fuel</t>
  </si>
  <si>
    <t>% First Owner Cars</t>
  </si>
  <si>
    <t>D</t>
  </si>
  <si>
    <t>E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</si>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</sst>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2" fontId="0" fillId="0" borderId="0" xfId="0" applyNumberFormat="1"/>
    <xf numFmtId="0" fontId="0" fillId="2" borderId="1" xfId="0" applyFill="1" applyBorder="1"/>
    <xf numFmtId="2" fontId="0" fillId="2" borderId="1" xfId="0" applyNumberFormat="1" applyFill="1" applyBorder="1"/>
    <xf numFmtId="0" fontId="0" fillId="2" borderId="0" xfId="0" applyFill="1"/>
    <xf numFmtId="0" fontId="0" fillId="2" borderId="2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2" fontId="0" fillId="2" borderId="1" xfId="0" applyNumberForma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right" vertical="center" wrapText="1"/>
    </xf>
    <xf numFmtId="9" fontId="0" fillId="2" borderId="1" xfId="1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[jeshmoy kakati_cardashboard.xlsx]pivot table!PivotTable6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table'!$A$39:$A$40</c:f>
              <c:strCache>
                <c:ptCount val="1"/>
                <c:pt idx="0">
                  <c:v>Individual</c:v>
                </c:pt>
              </c:strCache>
            </c:strRef>
          </c:cat>
          <c:val>
            <c:numRef>
              <c:f>'pivot table'!$B$39:$B$40</c:f>
              <c:numCache>
                <c:formatCode>0.00</c:formatCode>
                <c:ptCount val="1"/>
                <c:pt idx="0">
                  <c:v>388749.89285714284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B6-4FA3-B80E-D799254BE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6350959"/>
        <c:axId val="1026349039"/>
      </c:barChart>
      <c:catAx>
        <c:axId val="1026350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349039"/>
        <c:crosses val="autoZero"/>
        <c:auto val="1"/>
        <c:lblAlgn val="ctr"/>
        <c:lblOffset val="100"/>
        <c:noMultiLvlLbl val="0"/>
      </c:catAx>
      <c:valAx>
        <c:axId val="102634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350959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[jeshmoy kakati_cardashboard.xlsx]pivot table!PivotTable4</c:name>
    <c:fmtId val="2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table'!$A$12:$A$14</c:f>
              <c:strCache>
                <c:ptCount val="2"/>
                <c:pt idx="0">
                  <c:v>Automatic</c:v>
                </c:pt>
                <c:pt idx="1">
                  <c:v>Manual</c:v>
                </c:pt>
              </c:strCache>
            </c:strRef>
          </c:cat>
          <c:val>
            <c:numRef>
              <c:f>'pivot table'!$B$12:$B$14</c:f>
              <c:numCache>
                <c:formatCode>General</c:formatCode>
                <c:ptCount val="2"/>
                <c:pt idx="0">
                  <c:v>1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A-4DDE-9CE3-F6CC6BDBD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27678991"/>
        <c:axId val="427675631"/>
        <c:axId val="0"/>
      </c:bar3DChart>
      <c:catAx>
        <c:axId val="42767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675631"/>
        <c:crosses val="autoZero"/>
        <c:auto val="1"/>
        <c:lblAlgn val="ctr"/>
        <c:lblOffset val="100"/>
        <c:noMultiLvlLbl val="0"/>
      </c:catAx>
      <c:valAx>
        <c:axId val="42767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67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[jeshmoy kakati_cardashboard.xlsx]pivot table!PivotTable3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table'!$A$4:$A$6</c:f>
              <c:strCache>
                <c:ptCount val="2"/>
                <c:pt idx="0">
                  <c:v>Diesel</c:v>
                </c:pt>
                <c:pt idx="1">
                  <c:v>Petrol</c:v>
                </c:pt>
              </c:strCache>
            </c:strRef>
          </c:cat>
          <c:val>
            <c:numRef>
              <c:f>'pivot table'!$B$4:$B$6</c:f>
              <c:numCache>
                <c:formatCode>0.00</c:formatCode>
                <c:ptCount val="2"/>
                <c:pt idx="0">
                  <c:v>629285.57142857148</c:v>
                </c:pt>
                <c:pt idx="1">
                  <c:v>148214.21428571429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60-4A49-BB34-BFB70DE7D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575983"/>
        <c:axId val="118467279"/>
      </c:lineChart>
      <c:catAx>
        <c:axId val="11057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67279"/>
        <c:crosses val="autoZero"/>
        <c:auto val="1"/>
        <c:lblAlgn val="ctr"/>
        <c:lblOffset val="100"/>
        <c:noMultiLvlLbl val="0"/>
      </c:catAx>
      <c:valAx>
        <c:axId val="11846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7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[jeshmoy kakati_cardashboard.xlsx]pivot table!PivotTable5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535-4E0F-90D5-85AF97C572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535-4E0F-90D5-85AF97C572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535-4E0F-90D5-85AF97C572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535-4E0F-90D5-85AF97C572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535-4E0F-90D5-85AF97C572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535-4E0F-90D5-85AF97C572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535-4E0F-90D5-85AF97C572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535-4E0F-90D5-85AF97C572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535-4E0F-90D5-85AF97C572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535-4E0F-90D5-85AF97C572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535-4E0F-90D5-85AF97C572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535-4E0F-90D5-85AF97C5721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9535-4E0F-90D5-85AF97C5721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9535-4E0F-90D5-85AF97C5721C}"/>
              </c:ext>
            </c:extLst>
          </c:dPt>
          <c:cat>
            <c:strRef>
              <c:f>'pivot table'!$A$19:$A$33</c:f>
              <c:strCache>
                <c:ptCount val="14"/>
                <c:pt idx="0">
                  <c:v>2000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2019</c:v>
                </c:pt>
              </c:strCache>
            </c:strRef>
          </c:cat>
          <c:val>
            <c:numRef>
              <c:f>'pivot table'!$B$19:$B$33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535-4E0F-90D5-85AF97C57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[jeshmoy kakati_cardashboard.xlsx]pivot table!PivotTable6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table'!$A$39:$A$40</c:f>
              <c:strCache>
                <c:ptCount val="1"/>
                <c:pt idx="0">
                  <c:v>Individual</c:v>
                </c:pt>
              </c:strCache>
            </c:strRef>
          </c:cat>
          <c:val>
            <c:numRef>
              <c:f>'pivot table'!$B$39:$B$40</c:f>
              <c:numCache>
                <c:formatCode>0.00</c:formatCode>
                <c:ptCount val="1"/>
                <c:pt idx="0">
                  <c:v>388749.89285714284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C-44A2-9CAD-908C652F8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6350959"/>
        <c:axId val="1026349039"/>
      </c:barChart>
      <c:catAx>
        <c:axId val="1026350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349039"/>
        <c:crosses val="autoZero"/>
        <c:auto val="1"/>
        <c:lblAlgn val="ctr"/>
        <c:lblOffset val="100"/>
        <c:noMultiLvlLbl val="0"/>
      </c:catAx>
      <c:valAx>
        <c:axId val="102634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35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21</xdr:row>
      <xdr:rowOff>41910</xdr:rowOff>
    </xdr:from>
    <xdr:to>
      <xdr:col>10</xdr:col>
      <xdr:colOff>518160</xdr:colOff>
      <xdr:row>36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D0F0D2-62E6-944C-03FD-66014CFE2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</xdr:col>
      <xdr:colOff>388620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391248-6B88-4BD6-9F81-E2F4C8089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8</xdr:row>
      <xdr:rowOff>7620</xdr:rowOff>
    </xdr:from>
    <xdr:to>
      <xdr:col>11</xdr:col>
      <xdr:colOff>304800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39A559-7592-4089-8BEA-CFCB55A1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2</xdr:col>
      <xdr:colOff>388620</xdr:colOff>
      <xdr:row>42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819768-7EC5-47A9-ADBD-0732C0C80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11</xdr:col>
      <xdr:colOff>304800</xdr:colOff>
      <xdr:row>42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66D473-5FF1-4D09-BCA2-CDC6E27D3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 kakati" refreshedDate="46077.998713310182" createdVersion="8" refreshedVersion="8" minRefreshableVersion="3" recordCount="28" xr:uid="{45629D60-ABC0-4016-B17E-5C8A166F29DC}">
  <cacheSource type="worksheet">
    <worksheetSource name="CAR_DETAILS_FROM_CAR_DEKHO3"/>
  </cacheSource>
  <cacheFields count="10">
    <cacheField name="name" numFmtId="0">
      <sharedItems/>
    </cacheField>
    <cacheField name="year" numFmtId="0">
      <sharedItems containsSemiMixedTypes="0" containsString="0" containsNumber="1" containsInteger="1" minValue="2000" maxValue="2019" count="14">
        <n v="2007"/>
        <n v="2019"/>
        <n v="2015"/>
        <n v="2017"/>
        <n v="2014"/>
        <n v="2013"/>
        <n v="2005"/>
        <n v="2012"/>
        <n v="2008"/>
        <n v="2006"/>
        <n v="2000"/>
        <n v="2010"/>
        <n v="2009"/>
        <n v="2016"/>
      </sharedItems>
    </cacheField>
    <cacheField name="selling_price" numFmtId="2">
      <sharedItems containsSemiMixedTypes="0" containsString="0" containsNumber="1" containsInteger="1" minValue="60000" maxValue="2800000"/>
    </cacheField>
    <cacheField name="km_driven" numFmtId="0">
      <sharedItems containsSemiMixedTypes="0" containsString="0" containsNumber="1" containsInteger="1" minValue="10000" maxValue="175000"/>
    </cacheField>
    <cacheField name="fuel" numFmtId="0">
      <sharedItems count="2">
        <s v="Petrol"/>
        <s v="Diesel"/>
      </sharedItems>
    </cacheField>
    <cacheField name="seller_type" numFmtId="0">
      <sharedItems count="1">
        <s v="Individual"/>
      </sharedItems>
    </cacheField>
    <cacheField name="transmission" numFmtId="0">
      <sharedItems count="2">
        <s v="Manual"/>
        <s v="Automatic"/>
      </sharedItems>
    </cacheField>
    <cacheField name="owner" numFmtId="0">
      <sharedItems/>
    </cacheField>
    <cacheField name="car age" numFmtId="0">
      <sharedItems containsSemiMixedTypes="0" containsString="0" containsNumber="1" containsInteger="1" minValue="7" maxValue="26"/>
    </cacheField>
    <cacheField name="price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Maruti 800 AC"/>
    <x v="0"/>
    <n v="60000"/>
    <n v="70000"/>
    <x v="0"/>
    <x v="0"/>
    <x v="0"/>
    <s v="First Owner"/>
    <n v="19"/>
    <s v="PREMIUM"/>
  </r>
  <r>
    <s v="Ford Endeavour 2.2 Titanium AT 4X2"/>
    <x v="1"/>
    <n v="2800000"/>
    <n v="10000"/>
    <x v="1"/>
    <x v="0"/>
    <x v="1"/>
    <s v="First Owner"/>
    <n v="7"/>
    <s v="PREMIUM"/>
  </r>
  <r>
    <s v="Maruti Swift Dzire VDI"/>
    <x v="2"/>
    <n v="470000"/>
    <n v="170000"/>
    <x v="1"/>
    <x v="0"/>
    <x v="0"/>
    <s v="First Owner"/>
    <n v="11"/>
    <s v="PREMIUM"/>
  </r>
  <r>
    <s v="Maruti Celerio ZXI"/>
    <x v="3"/>
    <n v="415000"/>
    <n v="20000"/>
    <x v="0"/>
    <x v="0"/>
    <x v="0"/>
    <s v="First Owner"/>
    <n v="9"/>
    <s v="PREMIUM"/>
  </r>
  <r>
    <s v="Nissan Terrano XL 85 PS"/>
    <x v="4"/>
    <n v="500000"/>
    <n v="82000"/>
    <x v="1"/>
    <x v="0"/>
    <x v="0"/>
    <s v="First Owner"/>
    <n v="12"/>
    <s v="PREMIUM"/>
  </r>
  <r>
    <s v="Chevrolet Spark 1.0 LT BS3"/>
    <x v="5"/>
    <n v="150000"/>
    <n v="60000"/>
    <x v="0"/>
    <x v="0"/>
    <x v="0"/>
    <s v="Second Owner"/>
    <n v="13"/>
    <s v="PREMIUM"/>
  </r>
  <r>
    <s v="Maruti Alto STD"/>
    <x v="6"/>
    <n v="95000"/>
    <n v="50000"/>
    <x v="0"/>
    <x v="0"/>
    <x v="0"/>
    <s v="Second Owner"/>
    <n v="21"/>
    <s v="PREMIUM"/>
  </r>
  <r>
    <s v="Maruti Swift LDI"/>
    <x v="7"/>
    <n v="400000"/>
    <n v="70000"/>
    <x v="1"/>
    <x v="0"/>
    <x v="0"/>
    <s v="First Owner"/>
    <n v="14"/>
    <s v="PREMIUM"/>
  </r>
  <r>
    <s v="Maruti Alto LX"/>
    <x v="8"/>
    <n v="114999"/>
    <n v="66782"/>
    <x v="0"/>
    <x v="0"/>
    <x v="0"/>
    <s v="Second Owner"/>
    <n v="18"/>
    <s v="PREMIUM"/>
  </r>
  <r>
    <s v="Maruti Alto LX"/>
    <x v="9"/>
    <n v="75000"/>
    <n v="130000"/>
    <x v="0"/>
    <x v="0"/>
    <x v="0"/>
    <s v="First Owner"/>
    <n v="20"/>
    <s v="PREMIUM"/>
  </r>
  <r>
    <s v="Hyundai Verna 1.6 SX CRDi (O)"/>
    <x v="5"/>
    <n v="500000"/>
    <n v="120000"/>
    <x v="1"/>
    <x v="0"/>
    <x v="0"/>
    <s v="First Owner"/>
    <n v="13"/>
    <s v="PREMIUM"/>
  </r>
  <r>
    <s v="Maruti 800 AC"/>
    <x v="4"/>
    <n v="195000"/>
    <n v="75000"/>
    <x v="0"/>
    <x v="0"/>
    <x v="0"/>
    <s v="Second Owner"/>
    <n v="12"/>
    <s v="PREMIUM"/>
  </r>
  <r>
    <s v="Maruti Alto 800 Base"/>
    <x v="2"/>
    <n v="155000"/>
    <n v="40000"/>
    <x v="0"/>
    <x v="0"/>
    <x v="0"/>
    <s v="First Owner"/>
    <n v="11"/>
    <s v="PREMIUM"/>
  </r>
  <r>
    <s v="Maruti Alto LXi"/>
    <x v="10"/>
    <n v="65000"/>
    <n v="90000"/>
    <x v="0"/>
    <x v="0"/>
    <x v="0"/>
    <s v="Second Owner"/>
    <n v="26"/>
    <s v="PREMIUM"/>
  </r>
  <r>
    <s v="Honda City 1.5 GXI"/>
    <x v="6"/>
    <n v="65000"/>
    <n v="150000"/>
    <x v="0"/>
    <x v="0"/>
    <x v="0"/>
    <s v="Third Owner"/>
    <n v="21"/>
    <s v="PREMIUM"/>
  </r>
  <r>
    <s v="Tata Nano XM"/>
    <x v="2"/>
    <n v="190000"/>
    <n v="60000"/>
    <x v="0"/>
    <x v="0"/>
    <x v="0"/>
    <s v="Second Owner"/>
    <n v="11"/>
    <s v="PREMIUM"/>
  </r>
  <r>
    <s v="Mahindra Verito 1.5 D6 BSIII"/>
    <x v="7"/>
    <n v="200000"/>
    <n v="112198"/>
    <x v="1"/>
    <x v="0"/>
    <x v="0"/>
    <s v="Second Owner"/>
    <n v="14"/>
    <s v="PREMIUM"/>
  </r>
  <r>
    <s v="Tata Manza Aura Safire BS IV"/>
    <x v="11"/>
    <n v="160000"/>
    <n v="60000"/>
    <x v="0"/>
    <x v="0"/>
    <x v="0"/>
    <s v="Second Owner"/>
    <n v="16"/>
    <s v="PREMIUM"/>
  </r>
  <r>
    <s v="Tata Indica Vista Aqua 1.4 TDI"/>
    <x v="11"/>
    <n v="150000"/>
    <n v="130000"/>
    <x v="1"/>
    <x v="0"/>
    <x v="0"/>
    <s v="Second Owner"/>
    <n v="16"/>
    <s v="PREMIUM"/>
  </r>
  <r>
    <s v="Ford EcoSport 1.5 TDCi Titanium BSIV"/>
    <x v="2"/>
    <n v="530000"/>
    <n v="175000"/>
    <x v="1"/>
    <x v="0"/>
    <x v="0"/>
    <s v="Third Owner"/>
    <n v="11"/>
    <s v="PREMIUM"/>
  </r>
  <r>
    <s v="Mahindra Scorpio S2 7 Seater"/>
    <x v="2"/>
    <n v="750000"/>
    <n v="120000"/>
    <x v="1"/>
    <x v="0"/>
    <x v="0"/>
    <s v="First Owner"/>
    <n v="11"/>
    <s v="PREMIUM"/>
  </r>
  <r>
    <s v="Maruti Ritz VDi"/>
    <x v="7"/>
    <n v="225000"/>
    <n v="90000"/>
    <x v="1"/>
    <x v="0"/>
    <x v="0"/>
    <s v="Second Owner"/>
    <n v="14"/>
    <s v="PREMIUM"/>
  </r>
  <r>
    <s v="Toyota Innova 2.5 VX (Diesel) 8 Seater BS IV"/>
    <x v="7"/>
    <n v="600000"/>
    <n v="170000"/>
    <x v="1"/>
    <x v="0"/>
    <x v="0"/>
    <s v="First Owner"/>
    <n v="14"/>
    <s v="PREMIUM"/>
  </r>
  <r>
    <s v="Hyundai i20 Magna 1.4 CRDi (Diesel)"/>
    <x v="4"/>
    <n v="409999"/>
    <n v="80000"/>
    <x v="1"/>
    <x v="0"/>
    <x v="0"/>
    <s v="Second Owner"/>
    <n v="12"/>
    <s v="PREMIUM"/>
  </r>
  <r>
    <s v="Hyundai i20 Magna 1.4 CRDi"/>
    <x v="4"/>
    <n v="409999"/>
    <n v="80000"/>
    <x v="1"/>
    <x v="0"/>
    <x v="0"/>
    <s v="Second Owner"/>
    <n v="12"/>
    <s v="PREMIUM"/>
  </r>
  <r>
    <s v="Maruti 800 AC BSIII"/>
    <x v="12"/>
    <n v="110000"/>
    <n v="83000"/>
    <x v="0"/>
    <x v="0"/>
    <x v="0"/>
    <s v="Second Owner"/>
    <n v="17"/>
    <s v="PREMIUM"/>
  </r>
  <r>
    <s v="Hyundai Creta 1.6 CRDi SX Option"/>
    <x v="13"/>
    <n v="865000"/>
    <n v="90000"/>
    <x v="1"/>
    <x v="0"/>
    <x v="0"/>
    <s v="First Owner"/>
    <n v="10"/>
    <s v="PREMIUM"/>
  </r>
  <r>
    <s v="Renault KWID RXT"/>
    <x v="13"/>
    <n v="225000"/>
    <n v="40000"/>
    <x v="0"/>
    <x v="0"/>
    <x v="0"/>
    <s v="First Owner"/>
    <n v="10"/>
    <s v="PREM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11B27-BBB4-4A9B-B604-2A026C960BF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8:B33" firstHeaderRow="1" firstDataRow="1" firstDataCol="1"/>
  <pivotFields count="10">
    <pivotField dataField="1" showAll="0"/>
    <pivotField axis="axisRow" showAll="0">
      <items count="15">
        <item x="10"/>
        <item x="6"/>
        <item x="9"/>
        <item x="0"/>
        <item x="8"/>
        <item x="12"/>
        <item x="11"/>
        <item x="7"/>
        <item x="5"/>
        <item x="4"/>
        <item x="2"/>
        <item x="13"/>
        <item x="3"/>
        <item x="1"/>
        <item t="default"/>
      </items>
    </pivotField>
    <pivotField numFmtId="2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name" fld="0" subtotal="count" baseField="0" baseItem="0"/>
  </dataFields>
  <chartFormats count="1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53FF8-D65E-4E06-BA9F-00908679C64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11:B14" firstHeaderRow="1" firstDataRow="1" firstDataCol="1"/>
  <pivotFields count="10">
    <pivotField dataField="1" showAll="0"/>
    <pivotField showAll="0"/>
    <pivotField numFmtId="2" showAll="0"/>
    <pivotField showAll="0"/>
    <pivotField showAll="0">
      <items count="3">
        <item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name" fld="0" subtotal="count" baseField="0" baseItem="0"/>
  </dataFields>
  <chartFormats count="2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7E87FC-998B-4CC7-8E4D-A6CB6C75E8B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6" firstHeaderRow="1" firstDataRow="1" firstDataCol="1"/>
  <pivotFields count="10">
    <pivotField showAll="0"/>
    <pivotField showAll="0"/>
    <pivotField dataField="1" numFmtId="2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selling_price" fld="2" subtotal="average" baseField="0" baseItem="0" numFmtId="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C021E-95E6-44F7-BE59-359F69DE55E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8:B40" firstHeaderRow="1" firstDataRow="1" firstDataCol="1"/>
  <pivotFields count="10">
    <pivotField showAll="0"/>
    <pivotField showAll="0"/>
    <pivotField dataField="1" numFmtId="2" showAll="0"/>
    <pivotField showAll="0"/>
    <pivotField showAll="0">
      <items count="3">
        <item x="1"/>
        <item x="0"/>
        <item t="default"/>
      </items>
    </pivotField>
    <pivotField axis="axisRow"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5"/>
  </rowFields>
  <rowItems count="2">
    <i>
      <x/>
    </i>
    <i t="grand">
      <x/>
    </i>
  </rowItems>
  <colItems count="1">
    <i/>
  </colItems>
  <dataFields count="1">
    <dataField name="Average of selling_price" fld="2" subtotal="average" baseField="0" baseItem="0" numFmtId="2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214F9D-E1FE-4EDD-BF36-23D0F2450B0B}" autoFormatId="16" applyNumberFormats="0" applyBorderFormats="0" applyFontFormats="0" applyPatternFormats="0" applyAlignmentFormats="0" applyWidthHeightFormats="0">
  <queryTableRefresh nextId="12" unboundColumnsRight="2">
    <queryTableFields count="10">
      <queryTableField id="1" name="name" tableColumnId="1"/>
      <queryTableField id="2" name="year" tableColumnId="2"/>
      <queryTableField id="3" name="selling_price" tableColumnId="3"/>
      <queryTableField id="4" name="km_driven" tableColumnId="4"/>
      <queryTableField id="5" name="fuel" tableColumnId="5"/>
      <queryTableField id="6" name="seller_type" tableColumnId="6"/>
      <queryTableField id="7" name="transmission" tableColumnId="7"/>
      <queryTableField id="8" name="owner" tableColumnId="8"/>
      <queryTableField id="10" dataBound="0" tableColumnId="10"/>
      <queryTableField id="11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D399115-38E1-4304-A87A-CFA5E1C33E11}" autoFormatId="16" applyNumberFormats="0" applyBorderFormats="0" applyFontFormats="0" applyPatternFormats="0" applyAlignmentFormats="0" applyWidthHeightFormats="0">
  <queryTableRefresh nextId="12" unboundColumnsRight="2">
    <queryTableFields count="10">
      <queryTableField id="1" name="name" tableColumnId="1"/>
      <queryTableField id="2" name="year" tableColumnId="2"/>
      <queryTableField id="3" name="selling_price" tableColumnId="3"/>
      <queryTableField id="4" name="km_driven" tableColumnId="4"/>
      <queryTableField id="5" name="fuel" tableColumnId="5"/>
      <queryTableField id="6" name="seller_type" tableColumnId="6"/>
      <queryTableField id="7" name="transmission" tableColumnId="7"/>
      <queryTableField id="8" name="owner" tableColumnId="8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91D022-FA66-4B40-B112-1E28BFAB3CC8}" name="CAR_DETAILS_FROM_CAR_DEKHO" displayName="CAR_DETAILS_FROM_CAR_DEKHO" ref="A1:J29" tableType="queryTable" totalsRowShown="0">
  <autoFilter ref="A1:J29" xr:uid="{5791D022-FA66-4B40-B112-1E28BFAB3CC8}"/>
  <tableColumns count="10">
    <tableColumn id="1" xr3:uid="{4B30BE6A-C8B3-48DD-BB48-9D42103918D1}" uniqueName="1" name="name" queryTableFieldId="1" dataDxfId="15"/>
    <tableColumn id="2" xr3:uid="{8EF60027-680F-4E44-90E9-2CC720587222}" uniqueName="2" name="year" queryTableFieldId="2"/>
    <tableColumn id="3" xr3:uid="{E47AE0C8-B039-4892-998D-4F03911D9F32}" uniqueName="3" name="selling_price" queryTableFieldId="3" dataDxfId="14"/>
    <tableColumn id="4" xr3:uid="{5889B516-68C3-40D3-B9FB-65C827248794}" uniqueName="4" name="km_driven" queryTableFieldId="4"/>
    <tableColumn id="5" xr3:uid="{33EA072E-0901-4EA0-B3CA-226E05A6DE84}" uniqueName="5" name="fuel" queryTableFieldId="5" dataDxfId="13"/>
    <tableColumn id="6" xr3:uid="{28631505-1ED8-4252-BE5A-965F144623BB}" uniqueName="6" name="seller_type" queryTableFieldId="6" dataDxfId="12"/>
    <tableColumn id="7" xr3:uid="{1DFF4478-E8CE-42CE-905F-D8595050C665}" uniqueName="7" name="transmission" queryTableFieldId="7" dataDxfId="11"/>
    <tableColumn id="8" xr3:uid="{7C7D6EAF-1961-491D-968F-C6B9763C5AA3}" uniqueName="8" name="owner" queryTableFieldId="8" dataDxfId="10"/>
    <tableColumn id="10" xr3:uid="{8911EF1D-F26F-477E-81D4-D56321559B7C}" uniqueName="10" name="car age" queryTableFieldId="10" dataDxfId="9">
      <calculatedColumnFormula>YEAR(TODAY( ))-B2</calculatedColumnFormula>
    </tableColumn>
    <tableColumn id="11" xr3:uid="{C58AF283-9151-4048-B26D-84C97E19D76B}" uniqueName="11" name="price category" queryTableFieldId="11" dataDxfId="8">
      <calculatedColumnFormula>IF(C2&lt;5,"BUDGET",IF(C2&lt;=10,"MID RANGE","PREMIUM"))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2331BD-F22E-434D-9FC2-074E34A66505}" name="CAR_DETAILS_FROM_CAR_DEKHO3" displayName="CAR_DETAILS_FROM_CAR_DEKHO3" ref="A1:J29" tableType="queryTable" totalsRowShown="0">
  <autoFilter ref="A1:J29" xr:uid="{7B2331BD-F22E-434D-9FC2-074E34A66505}"/>
  <tableColumns count="10">
    <tableColumn id="1" xr3:uid="{A5189F52-E5B0-419C-9CB5-4EB71C2509CE}" uniqueName="1" name="name" queryTableFieldId="1" dataDxfId="7"/>
    <tableColumn id="2" xr3:uid="{1087C42A-49B8-45E8-8B9E-C5C892826BC3}" uniqueName="2" name="year" queryTableFieldId="2"/>
    <tableColumn id="3" xr3:uid="{56409737-400F-4A41-BB1A-A0D34D69055B}" uniqueName="3" name="selling_price" queryTableFieldId="3" dataDxfId="6"/>
    <tableColumn id="4" xr3:uid="{752B7AE5-673A-47C9-B82C-F76A6BCCBCD3}" uniqueName="4" name="km_driven" queryTableFieldId="4"/>
    <tableColumn id="5" xr3:uid="{C76A6302-E90C-4CA5-97BE-98D90A55BA48}" uniqueName="5" name="fuel" queryTableFieldId="5" dataDxfId="5"/>
    <tableColumn id="6" xr3:uid="{4EE2893E-07E7-44DC-96A9-7F0D930C08A9}" uniqueName="6" name="seller_type" queryTableFieldId="6" dataDxfId="4"/>
    <tableColumn id="7" xr3:uid="{550828CC-AD4A-4F4C-B32B-C0AF1D71C553}" uniqueName="7" name="transmission" queryTableFieldId="7" dataDxfId="3"/>
    <tableColumn id="8" xr3:uid="{B8E8D687-2747-4565-A9E9-6D06F8AEC4E3}" uniqueName="8" name="owner" queryTableFieldId="8" dataDxfId="2"/>
    <tableColumn id="10" xr3:uid="{322A759E-B691-44FE-8C4C-AAE58A511769}" uniqueName="10" name="car age" queryTableFieldId="10" dataDxfId="1">
      <calculatedColumnFormula>YEAR(TODAY( ))-B2</calculatedColumnFormula>
    </tableColumn>
    <tableColumn id="11" xr3:uid="{A7E5BC43-42D9-49E0-9D12-9D6202D23BFD}" uniqueName="11" name="price category" queryTableFieldId="11" dataDxfId="0">
      <calculatedColumnFormula>IF(C2&lt;5,"BUDGET",IF(C2&lt;=10,"MID RANGE","PREMIUM"))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3038-C39C-42DD-BB59-33813C258231}">
  <dimension ref="A1:J29"/>
  <sheetViews>
    <sheetView topLeftCell="B3" workbookViewId="0">
      <selection sqref="A1:J29"/>
    </sheetView>
  </sheetViews>
  <sheetFormatPr defaultRowHeight="14.4"/>
  <cols>
    <col min="1" max="1" width="50.77734375" bestFit="1" customWidth="1"/>
    <col min="2" max="2" width="6.88671875" bestFit="1" customWidth="1"/>
    <col min="3" max="3" width="13.5546875" bestFit="1" customWidth="1"/>
    <col min="4" max="4" width="12.21875" bestFit="1" customWidth="1"/>
    <col min="5" max="5" width="7" bestFit="1" customWidth="1"/>
    <col min="6" max="6" width="15.109375" bestFit="1" customWidth="1"/>
    <col min="7" max="7" width="13.77734375" bestFit="1" customWidth="1"/>
    <col min="8" max="8" width="19.77734375" bestFit="1" customWidth="1"/>
  </cols>
  <sheetData>
    <row r="1" spans="1:10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42</v>
      </c>
      <c r="J1" t="s">
        <v>43</v>
      </c>
    </row>
    <row r="2" spans="1:10">
      <c r="A2" t="s">
        <v>8</v>
      </c>
      <c r="B2">
        <v>2007</v>
      </c>
      <c r="C2" s="1">
        <v>60000</v>
      </c>
      <c r="D2">
        <v>70000</v>
      </c>
      <c r="E2" t="s">
        <v>9</v>
      </c>
      <c r="F2" t="s">
        <v>10</v>
      </c>
      <c r="G2" t="s">
        <v>11</v>
      </c>
      <c r="H2" t="s">
        <v>12</v>
      </c>
      <c r="I2">
        <f ca="1">YEAR(TODAY( ))-B2</f>
        <v>19</v>
      </c>
      <c r="J2" t="str">
        <f t="shared" ref="J2:J29" si="0">IF(C2&lt;5,"BUDGET",IF(C2&lt;=10,"MID RANGE","PREMIUM"))</f>
        <v>PREMIUM</v>
      </c>
    </row>
    <row r="3" spans="1:10">
      <c r="A3" t="s">
        <v>35</v>
      </c>
      <c r="B3">
        <v>2019</v>
      </c>
      <c r="C3" s="1">
        <v>2800000</v>
      </c>
      <c r="D3">
        <v>10000</v>
      </c>
      <c r="E3" t="s">
        <v>13</v>
      </c>
      <c r="F3" t="s">
        <v>10</v>
      </c>
      <c r="G3" t="s">
        <v>15</v>
      </c>
      <c r="H3" t="s">
        <v>12</v>
      </c>
      <c r="I3">
        <f t="shared" ref="I3:I29" ca="1" si="1">YEAR(TODAY( ))-B3</f>
        <v>7</v>
      </c>
      <c r="J3" t="str">
        <f>IF(C3&lt;5,"BUDGET",IF(C3&lt;=10,"MID RANGE","PREMIUM"))</f>
        <v>PREMIUM</v>
      </c>
    </row>
    <row r="4" spans="1:10">
      <c r="A4" t="s">
        <v>19</v>
      </c>
      <c r="B4">
        <v>2015</v>
      </c>
      <c r="C4" s="1">
        <v>470000</v>
      </c>
      <c r="D4">
        <v>170000</v>
      </c>
      <c r="E4" t="s">
        <v>13</v>
      </c>
      <c r="F4" t="s">
        <v>10</v>
      </c>
      <c r="G4" t="s">
        <v>11</v>
      </c>
      <c r="H4" t="s">
        <v>12</v>
      </c>
      <c r="I4">
        <f t="shared" ca="1" si="1"/>
        <v>11</v>
      </c>
      <c r="J4" t="str">
        <f t="shared" si="0"/>
        <v>PREMIUM</v>
      </c>
    </row>
    <row r="5" spans="1:10">
      <c r="A5" t="s">
        <v>32</v>
      </c>
      <c r="B5">
        <v>2017</v>
      </c>
      <c r="C5" s="1">
        <v>415000</v>
      </c>
      <c r="D5">
        <v>20000</v>
      </c>
      <c r="E5" t="s">
        <v>9</v>
      </c>
      <c r="F5" t="s">
        <v>10</v>
      </c>
      <c r="G5" t="s">
        <v>11</v>
      </c>
      <c r="H5" t="s">
        <v>12</v>
      </c>
      <c r="I5">
        <f t="shared" ca="1" si="1"/>
        <v>9</v>
      </c>
      <c r="J5" t="str">
        <f t="shared" si="0"/>
        <v>PREMIUM</v>
      </c>
    </row>
    <row r="6" spans="1:10">
      <c r="A6" t="s">
        <v>29</v>
      </c>
      <c r="B6">
        <v>2014</v>
      </c>
      <c r="C6" s="1">
        <v>500000</v>
      </c>
      <c r="D6">
        <v>82000</v>
      </c>
      <c r="E6" t="s">
        <v>13</v>
      </c>
      <c r="F6" t="s">
        <v>10</v>
      </c>
      <c r="G6" t="s">
        <v>11</v>
      </c>
      <c r="H6" t="s">
        <v>12</v>
      </c>
      <c r="I6">
        <f t="shared" ca="1" si="1"/>
        <v>12</v>
      </c>
      <c r="J6" t="str">
        <f t="shared" si="0"/>
        <v>PREMIUM</v>
      </c>
    </row>
    <row r="7" spans="1:10">
      <c r="A7" t="s">
        <v>36</v>
      </c>
      <c r="B7">
        <v>2013</v>
      </c>
      <c r="C7" s="1">
        <v>150000</v>
      </c>
      <c r="D7">
        <v>60000</v>
      </c>
      <c r="E7" t="s">
        <v>9</v>
      </c>
      <c r="F7" t="s">
        <v>10</v>
      </c>
      <c r="G7" t="s">
        <v>11</v>
      </c>
      <c r="H7" t="s">
        <v>14</v>
      </c>
      <c r="I7">
        <f t="shared" ca="1" si="1"/>
        <v>13</v>
      </c>
      <c r="J7" t="str">
        <f t="shared" si="0"/>
        <v>PREMIUM</v>
      </c>
    </row>
    <row r="8" spans="1:10">
      <c r="A8" t="s">
        <v>33</v>
      </c>
      <c r="B8">
        <v>2005</v>
      </c>
      <c r="C8" s="1">
        <v>95000</v>
      </c>
      <c r="D8">
        <v>50000</v>
      </c>
      <c r="E8" t="s">
        <v>9</v>
      </c>
      <c r="F8" t="s">
        <v>10</v>
      </c>
      <c r="G8" t="s">
        <v>11</v>
      </c>
      <c r="H8" t="s">
        <v>14</v>
      </c>
      <c r="I8">
        <f t="shared" ca="1" si="1"/>
        <v>21</v>
      </c>
      <c r="J8" t="str">
        <f t="shared" si="0"/>
        <v>PREMIUM</v>
      </c>
    </row>
    <row r="9" spans="1:10">
      <c r="A9" t="s">
        <v>37</v>
      </c>
      <c r="B9">
        <v>2012</v>
      </c>
      <c r="C9" s="1">
        <v>400000</v>
      </c>
      <c r="D9">
        <v>70000</v>
      </c>
      <c r="E9" t="s">
        <v>13</v>
      </c>
      <c r="F9" t="s">
        <v>10</v>
      </c>
      <c r="G9" t="s">
        <v>11</v>
      </c>
      <c r="H9" t="s">
        <v>12</v>
      </c>
      <c r="I9">
        <f t="shared" ca="1" si="1"/>
        <v>14</v>
      </c>
      <c r="J9" t="str">
        <f t="shared" si="0"/>
        <v>PREMIUM</v>
      </c>
    </row>
    <row r="10" spans="1:10">
      <c r="A10" t="s">
        <v>22</v>
      </c>
      <c r="B10">
        <v>2008</v>
      </c>
      <c r="C10" s="1">
        <v>114999</v>
      </c>
      <c r="D10">
        <v>66782</v>
      </c>
      <c r="E10" t="s">
        <v>9</v>
      </c>
      <c r="F10" t="s">
        <v>10</v>
      </c>
      <c r="G10" t="s">
        <v>11</v>
      </c>
      <c r="H10" t="s">
        <v>14</v>
      </c>
      <c r="I10">
        <f t="shared" ca="1" si="1"/>
        <v>18</v>
      </c>
      <c r="J10" t="str">
        <f t="shared" si="0"/>
        <v>PREMIUM</v>
      </c>
    </row>
    <row r="11" spans="1:10">
      <c r="A11" t="s">
        <v>22</v>
      </c>
      <c r="B11">
        <v>2006</v>
      </c>
      <c r="C11" s="1">
        <v>75000</v>
      </c>
      <c r="D11">
        <v>130000</v>
      </c>
      <c r="E11" t="s">
        <v>9</v>
      </c>
      <c r="F11" t="s">
        <v>10</v>
      </c>
      <c r="G11" t="s">
        <v>11</v>
      </c>
      <c r="H11" t="s">
        <v>12</v>
      </c>
      <c r="I11">
        <f t="shared" ca="1" si="1"/>
        <v>20</v>
      </c>
      <c r="J11" t="str">
        <f t="shared" si="0"/>
        <v>PREMIUM</v>
      </c>
    </row>
    <row r="12" spans="1:10">
      <c r="A12" t="s">
        <v>24</v>
      </c>
      <c r="B12">
        <v>2013</v>
      </c>
      <c r="C12" s="1">
        <v>500000</v>
      </c>
      <c r="D12">
        <v>120000</v>
      </c>
      <c r="E12" t="s">
        <v>13</v>
      </c>
      <c r="F12" t="s">
        <v>10</v>
      </c>
      <c r="G12" t="s">
        <v>11</v>
      </c>
      <c r="H12" t="s">
        <v>12</v>
      </c>
      <c r="I12">
        <f t="shared" ca="1" si="1"/>
        <v>13</v>
      </c>
      <c r="J12" t="str">
        <f t="shared" si="0"/>
        <v>PREMIUM</v>
      </c>
    </row>
    <row r="13" spans="1:10">
      <c r="A13" t="s">
        <v>8</v>
      </c>
      <c r="B13">
        <v>2014</v>
      </c>
      <c r="C13" s="1">
        <v>195000</v>
      </c>
      <c r="D13">
        <v>75000</v>
      </c>
      <c r="E13" t="s">
        <v>9</v>
      </c>
      <c r="F13" t="s">
        <v>10</v>
      </c>
      <c r="G13" t="s">
        <v>11</v>
      </c>
      <c r="H13" t="s">
        <v>14</v>
      </c>
      <c r="I13">
        <f t="shared" ca="1" si="1"/>
        <v>12</v>
      </c>
      <c r="J13" t="str">
        <f t="shared" si="0"/>
        <v>PREMIUM</v>
      </c>
    </row>
    <row r="14" spans="1:10">
      <c r="A14" t="s">
        <v>31</v>
      </c>
      <c r="B14">
        <v>2015</v>
      </c>
      <c r="C14" s="1">
        <v>155000</v>
      </c>
      <c r="D14">
        <v>40000</v>
      </c>
      <c r="E14" t="s">
        <v>9</v>
      </c>
      <c r="F14" t="s">
        <v>10</v>
      </c>
      <c r="G14" t="s">
        <v>11</v>
      </c>
      <c r="H14" t="s">
        <v>12</v>
      </c>
      <c r="I14">
        <f t="shared" ca="1" si="1"/>
        <v>11</v>
      </c>
      <c r="J14" t="str">
        <f t="shared" si="0"/>
        <v>PREMIUM</v>
      </c>
    </row>
    <row r="15" spans="1:10">
      <c r="A15" t="s">
        <v>17</v>
      </c>
      <c r="B15">
        <v>2000</v>
      </c>
      <c r="C15" s="1">
        <v>65000</v>
      </c>
      <c r="D15">
        <v>90000</v>
      </c>
      <c r="E15" t="s">
        <v>9</v>
      </c>
      <c r="F15" t="s">
        <v>10</v>
      </c>
      <c r="G15" t="s">
        <v>11</v>
      </c>
      <c r="H15" t="s">
        <v>14</v>
      </c>
      <c r="I15">
        <f t="shared" ca="1" si="1"/>
        <v>26</v>
      </c>
      <c r="J15" t="str">
        <f t="shared" si="0"/>
        <v>PREMIUM</v>
      </c>
    </row>
    <row r="16" spans="1:10">
      <c r="A16" t="s">
        <v>30</v>
      </c>
      <c r="B16">
        <v>2005</v>
      </c>
      <c r="C16" s="1">
        <v>65000</v>
      </c>
      <c r="D16">
        <v>150000</v>
      </c>
      <c r="E16" t="s">
        <v>9</v>
      </c>
      <c r="F16" t="s">
        <v>10</v>
      </c>
      <c r="G16" t="s">
        <v>11</v>
      </c>
      <c r="H16" t="s">
        <v>16</v>
      </c>
      <c r="I16">
        <f t="shared" ca="1" si="1"/>
        <v>21</v>
      </c>
      <c r="J16" t="str">
        <f t="shared" si="0"/>
        <v>PREMIUM</v>
      </c>
    </row>
    <row r="17" spans="1:10">
      <c r="A17" t="s">
        <v>38</v>
      </c>
      <c r="B17">
        <v>2015</v>
      </c>
      <c r="C17" s="1">
        <v>190000</v>
      </c>
      <c r="D17">
        <v>60000</v>
      </c>
      <c r="E17" t="s">
        <v>9</v>
      </c>
      <c r="F17" t="s">
        <v>10</v>
      </c>
      <c r="G17" t="s">
        <v>11</v>
      </c>
      <c r="H17" t="s">
        <v>14</v>
      </c>
      <c r="I17">
        <f t="shared" ca="1" si="1"/>
        <v>11</v>
      </c>
      <c r="J17" t="str">
        <f t="shared" si="0"/>
        <v>PREMIUM</v>
      </c>
    </row>
    <row r="18" spans="1:10">
      <c r="A18" t="s">
        <v>39</v>
      </c>
      <c r="B18">
        <v>2012</v>
      </c>
      <c r="C18" s="1">
        <v>200000</v>
      </c>
      <c r="D18">
        <v>112198</v>
      </c>
      <c r="E18" t="s">
        <v>13</v>
      </c>
      <c r="F18" t="s">
        <v>10</v>
      </c>
      <c r="G18" t="s">
        <v>11</v>
      </c>
      <c r="H18" t="s">
        <v>14</v>
      </c>
      <c r="I18">
        <f t="shared" ca="1" si="1"/>
        <v>14</v>
      </c>
      <c r="J18" t="str">
        <f t="shared" si="0"/>
        <v>PREMIUM</v>
      </c>
    </row>
    <row r="19" spans="1:10">
      <c r="A19" t="s">
        <v>34</v>
      </c>
      <c r="B19">
        <v>2010</v>
      </c>
      <c r="C19" s="1">
        <v>160000</v>
      </c>
      <c r="D19">
        <v>60000</v>
      </c>
      <c r="E19" t="s">
        <v>9</v>
      </c>
      <c r="F19" t="s">
        <v>10</v>
      </c>
      <c r="G19" t="s">
        <v>11</v>
      </c>
      <c r="H19" t="s">
        <v>14</v>
      </c>
      <c r="I19">
        <f t="shared" ca="1" si="1"/>
        <v>16</v>
      </c>
      <c r="J19" t="str">
        <f t="shared" si="0"/>
        <v>PREMIUM</v>
      </c>
    </row>
    <row r="20" spans="1:10">
      <c r="A20" t="s">
        <v>20</v>
      </c>
      <c r="B20">
        <v>2010</v>
      </c>
      <c r="C20" s="1">
        <v>150000</v>
      </c>
      <c r="D20">
        <v>130000</v>
      </c>
      <c r="E20" t="s">
        <v>13</v>
      </c>
      <c r="F20" t="s">
        <v>10</v>
      </c>
      <c r="G20" t="s">
        <v>11</v>
      </c>
      <c r="H20" t="s">
        <v>14</v>
      </c>
      <c r="I20">
        <f t="shared" ca="1" si="1"/>
        <v>16</v>
      </c>
      <c r="J20" t="str">
        <f t="shared" si="0"/>
        <v>PREMIUM</v>
      </c>
    </row>
    <row r="21" spans="1:10">
      <c r="A21" t="s">
        <v>26</v>
      </c>
      <c r="B21">
        <v>2015</v>
      </c>
      <c r="C21" s="1">
        <v>530000</v>
      </c>
      <c r="D21">
        <v>175000</v>
      </c>
      <c r="E21" t="s">
        <v>13</v>
      </c>
      <c r="F21" t="s">
        <v>10</v>
      </c>
      <c r="G21" t="s">
        <v>11</v>
      </c>
      <c r="H21" t="s">
        <v>16</v>
      </c>
      <c r="I21">
        <f t="shared" ca="1" si="1"/>
        <v>11</v>
      </c>
      <c r="J21" t="str">
        <f t="shared" si="0"/>
        <v>PREMIUM</v>
      </c>
    </row>
    <row r="22" spans="1:10">
      <c r="A22" t="s">
        <v>28</v>
      </c>
      <c r="B22">
        <v>2015</v>
      </c>
      <c r="C22" s="1">
        <v>750000</v>
      </c>
      <c r="D22">
        <v>120000</v>
      </c>
      <c r="E22" t="s">
        <v>13</v>
      </c>
      <c r="F22" t="s">
        <v>10</v>
      </c>
      <c r="G22" t="s">
        <v>11</v>
      </c>
      <c r="H22" t="s">
        <v>12</v>
      </c>
      <c r="I22">
        <f t="shared" ca="1" si="1"/>
        <v>11</v>
      </c>
      <c r="J22" t="str">
        <f t="shared" si="0"/>
        <v>PREMIUM</v>
      </c>
    </row>
    <row r="23" spans="1:10">
      <c r="A23" t="s">
        <v>25</v>
      </c>
      <c r="B23">
        <v>2012</v>
      </c>
      <c r="C23" s="1">
        <v>225000</v>
      </c>
      <c r="D23">
        <v>90000</v>
      </c>
      <c r="E23" t="s">
        <v>13</v>
      </c>
      <c r="F23" t="s">
        <v>10</v>
      </c>
      <c r="G23" t="s">
        <v>11</v>
      </c>
      <c r="H23" t="s">
        <v>14</v>
      </c>
      <c r="I23">
        <f t="shared" ca="1" si="1"/>
        <v>14</v>
      </c>
      <c r="J23" t="str">
        <f t="shared" si="0"/>
        <v>PREMIUM</v>
      </c>
    </row>
    <row r="24" spans="1:10">
      <c r="A24" t="s">
        <v>40</v>
      </c>
      <c r="B24">
        <v>2012</v>
      </c>
      <c r="C24" s="1">
        <v>600000</v>
      </c>
      <c r="D24">
        <v>170000</v>
      </c>
      <c r="E24" t="s">
        <v>13</v>
      </c>
      <c r="F24" t="s">
        <v>10</v>
      </c>
      <c r="G24" t="s">
        <v>11</v>
      </c>
      <c r="H24" t="s">
        <v>12</v>
      </c>
      <c r="I24">
        <f t="shared" ca="1" si="1"/>
        <v>14</v>
      </c>
      <c r="J24" t="str">
        <f t="shared" si="0"/>
        <v>PREMIUM</v>
      </c>
    </row>
    <row r="25" spans="1:10">
      <c r="A25" t="s">
        <v>23</v>
      </c>
      <c r="B25">
        <v>2014</v>
      </c>
      <c r="C25" s="1">
        <v>409999</v>
      </c>
      <c r="D25">
        <v>80000</v>
      </c>
      <c r="E25" t="s">
        <v>13</v>
      </c>
      <c r="F25" t="s">
        <v>10</v>
      </c>
      <c r="G25" t="s">
        <v>11</v>
      </c>
      <c r="H25" t="s">
        <v>14</v>
      </c>
      <c r="I25">
        <f t="shared" ca="1" si="1"/>
        <v>12</v>
      </c>
      <c r="J25" t="str">
        <f t="shared" si="0"/>
        <v>PREMIUM</v>
      </c>
    </row>
    <row r="26" spans="1:10">
      <c r="A26" t="s">
        <v>41</v>
      </c>
      <c r="B26">
        <v>2014</v>
      </c>
      <c r="C26" s="1">
        <v>409999</v>
      </c>
      <c r="D26">
        <v>80000</v>
      </c>
      <c r="E26" t="s">
        <v>13</v>
      </c>
      <c r="F26" t="s">
        <v>10</v>
      </c>
      <c r="G26" t="s">
        <v>11</v>
      </c>
      <c r="H26" t="s">
        <v>14</v>
      </c>
      <c r="I26">
        <f t="shared" ca="1" si="1"/>
        <v>12</v>
      </c>
      <c r="J26" t="str">
        <f t="shared" si="0"/>
        <v>PREMIUM</v>
      </c>
    </row>
    <row r="27" spans="1:10">
      <c r="A27" t="s">
        <v>21</v>
      </c>
      <c r="B27">
        <v>2009</v>
      </c>
      <c r="C27" s="1">
        <v>110000</v>
      </c>
      <c r="D27">
        <v>83000</v>
      </c>
      <c r="E27" t="s">
        <v>9</v>
      </c>
      <c r="F27" t="s">
        <v>10</v>
      </c>
      <c r="G27" t="s">
        <v>11</v>
      </c>
      <c r="H27" t="s">
        <v>14</v>
      </c>
      <c r="I27">
        <f t="shared" ca="1" si="1"/>
        <v>17</v>
      </c>
      <c r="J27" t="str">
        <f t="shared" si="0"/>
        <v>PREMIUM</v>
      </c>
    </row>
    <row r="28" spans="1:10">
      <c r="A28" t="s">
        <v>27</v>
      </c>
      <c r="B28">
        <v>2016</v>
      </c>
      <c r="C28" s="1">
        <v>865000</v>
      </c>
      <c r="D28">
        <v>90000</v>
      </c>
      <c r="E28" t="s">
        <v>13</v>
      </c>
      <c r="F28" t="s">
        <v>10</v>
      </c>
      <c r="G28" t="s">
        <v>11</v>
      </c>
      <c r="H28" t="s">
        <v>12</v>
      </c>
      <c r="I28">
        <f t="shared" ca="1" si="1"/>
        <v>10</v>
      </c>
      <c r="J28" t="str">
        <f t="shared" si="0"/>
        <v>PREMIUM</v>
      </c>
    </row>
    <row r="29" spans="1:10">
      <c r="A29" t="s">
        <v>18</v>
      </c>
      <c r="B29">
        <v>2016</v>
      </c>
      <c r="C29" s="1">
        <v>225000</v>
      </c>
      <c r="D29">
        <v>40000</v>
      </c>
      <c r="E29" t="s">
        <v>9</v>
      </c>
      <c r="F29" t="s">
        <v>10</v>
      </c>
      <c r="G29" t="s">
        <v>11</v>
      </c>
      <c r="H29" t="s">
        <v>12</v>
      </c>
      <c r="I29">
        <f t="shared" ca="1" si="1"/>
        <v>10</v>
      </c>
      <c r="J29" t="str">
        <f t="shared" si="0"/>
        <v>PREMIUM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0F35-2CE5-413E-B843-78220990FCA0}">
  <dimension ref="A3:B40"/>
  <sheetViews>
    <sheetView topLeftCell="A16" workbookViewId="0">
      <selection activeCell="A38" sqref="A38:B40"/>
    </sheetView>
  </sheetViews>
  <sheetFormatPr defaultRowHeight="14.4"/>
  <cols>
    <col min="1" max="1" width="12.5546875" bestFit="1" customWidth="1"/>
    <col min="2" max="2" width="21.109375" bestFit="1" customWidth="1"/>
  </cols>
  <sheetData>
    <row r="3" spans="1:2">
      <c r="A3" s="6" t="s">
        <v>66</v>
      </c>
      <c r="B3" t="s">
        <v>68</v>
      </c>
    </row>
    <row r="4" spans="1:2">
      <c r="A4" s="7" t="s">
        <v>13</v>
      </c>
      <c r="B4" s="1">
        <v>629285.57142857148</v>
      </c>
    </row>
    <row r="5" spans="1:2">
      <c r="A5" s="7" t="s">
        <v>9</v>
      </c>
      <c r="B5" s="1">
        <v>148214.21428571429</v>
      </c>
    </row>
    <row r="6" spans="1:2">
      <c r="A6" s="7" t="s">
        <v>67</v>
      </c>
      <c r="B6" s="1">
        <v>388749.89285714284</v>
      </c>
    </row>
    <row r="11" spans="1:2">
      <c r="A11" s="6" t="s">
        <v>66</v>
      </c>
      <c r="B11" t="s">
        <v>69</v>
      </c>
    </row>
    <row r="12" spans="1:2">
      <c r="A12" s="7" t="s">
        <v>15</v>
      </c>
      <c r="B12">
        <v>1</v>
      </c>
    </row>
    <row r="13" spans="1:2">
      <c r="A13" s="7" t="s">
        <v>11</v>
      </c>
      <c r="B13">
        <v>27</v>
      </c>
    </row>
    <row r="14" spans="1:2">
      <c r="A14" s="7" t="s">
        <v>67</v>
      </c>
      <c r="B14">
        <v>28</v>
      </c>
    </row>
    <row r="18" spans="1:2">
      <c r="A18" s="6" t="s">
        <v>66</v>
      </c>
      <c r="B18" t="s">
        <v>69</v>
      </c>
    </row>
    <row r="19" spans="1:2">
      <c r="A19" s="7">
        <v>2000</v>
      </c>
      <c r="B19">
        <v>1</v>
      </c>
    </row>
    <row r="20" spans="1:2">
      <c r="A20" s="7">
        <v>2005</v>
      </c>
      <c r="B20">
        <v>2</v>
      </c>
    </row>
    <row r="21" spans="1:2">
      <c r="A21" s="7">
        <v>2006</v>
      </c>
      <c r="B21">
        <v>1</v>
      </c>
    </row>
    <row r="22" spans="1:2">
      <c r="A22" s="7">
        <v>2007</v>
      </c>
      <c r="B22">
        <v>1</v>
      </c>
    </row>
    <row r="23" spans="1:2">
      <c r="A23" s="7">
        <v>2008</v>
      </c>
      <c r="B23">
        <v>1</v>
      </c>
    </row>
    <row r="24" spans="1:2">
      <c r="A24" s="7">
        <v>2009</v>
      </c>
      <c r="B24">
        <v>1</v>
      </c>
    </row>
    <row r="25" spans="1:2">
      <c r="A25" s="7">
        <v>2010</v>
      </c>
      <c r="B25">
        <v>2</v>
      </c>
    </row>
    <row r="26" spans="1:2">
      <c r="A26" s="7">
        <v>2012</v>
      </c>
      <c r="B26">
        <v>4</v>
      </c>
    </row>
    <row r="27" spans="1:2">
      <c r="A27" s="7">
        <v>2013</v>
      </c>
      <c r="B27">
        <v>2</v>
      </c>
    </row>
    <row r="28" spans="1:2">
      <c r="A28" s="7">
        <v>2014</v>
      </c>
      <c r="B28">
        <v>4</v>
      </c>
    </row>
    <row r="29" spans="1:2">
      <c r="A29" s="7">
        <v>2015</v>
      </c>
      <c r="B29">
        <v>5</v>
      </c>
    </row>
    <row r="30" spans="1:2">
      <c r="A30" s="7">
        <v>2016</v>
      </c>
      <c r="B30">
        <v>2</v>
      </c>
    </row>
    <row r="31" spans="1:2">
      <c r="A31" s="7">
        <v>2017</v>
      </c>
      <c r="B31">
        <v>1</v>
      </c>
    </row>
    <row r="32" spans="1:2">
      <c r="A32" s="7">
        <v>2019</v>
      </c>
      <c r="B32">
        <v>1</v>
      </c>
    </row>
    <row r="33" spans="1:2">
      <c r="A33" s="7" t="s">
        <v>67</v>
      </c>
      <c r="B33">
        <v>28</v>
      </c>
    </row>
    <row r="38" spans="1:2">
      <c r="A38" s="6" t="s">
        <v>66</v>
      </c>
      <c r="B38" t="s">
        <v>68</v>
      </c>
    </row>
    <row r="39" spans="1:2">
      <c r="A39" s="7" t="s">
        <v>10</v>
      </c>
      <c r="B39" s="1">
        <v>388749.89285714284</v>
      </c>
    </row>
    <row r="40" spans="1:2">
      <c r="A40" s="7" t="s">
        <v>67</v>
      </c>
      <c r="B40" s="1">
        <v>388749.89285714284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C2A15-3DC5-474B-AEF6-07A438F94085}">
  <dimension ref="A1:M5"/>
  <sheetViews>
    <sheetView tabSelected="1" workbookViewId="0">
      <selection activeCell="H5" sqref="H5"/>
    </sheetView>
  </sheetViews>
  <sheetFormatPr defaultRowHeight="14.4"/>
  <cols>
    <col min="1" max="1" width="34.44140625" customWidth="1"/>
    <col min="2" max="2" width="26.5546875" customWidth="1"/>
    <col min="3" max="3" width="14.21875" customWidth="1"/>
  </cols>
  <sheetData>
    <row r="1" spans="1:13" ht="28.8">
      <c r="A1" s="17" t="s">
        <v>70</v>
      </c>
      <c r="B1" s="17" t="s">
        <v>71</v>
      </c>
      <c r="D1" s="9" t="s">
        <v>76</v>
      </c>
      <c r="E1" s="9" t="s">
        <v>77</v>
      </c>
      <c r="G1" s="18" t="s">
        <v>78</v>
      </c>
      <c r="H1" s="19"/>
      <c r="I1" s="19"/>
      <c r="J1" s="19"/>
      <c r="K1" s="19"/>
      <c r="L1" s="19"/>
      <c r="M1" s="19"/>
    </row>
    <row r="2" spans="1:13">
      <c r="A2" s="10" t="s">
        <v>72</v>
      </c>
      <c r="B2" s="11">
        <f>COUNTA(raw_data!A:A)-1</f>
        <v>28</v>
      </c>
      <c r="D2" s="11" t="s">
        <v>9</v>
      </c>
      <c r="E2" s="14">
        <f>COUNTIF(raw_data!E:E,"Petrol")</f>
        <v>14</v>
      </c>
    </row>
    <row r="3" spans="1:13">
      <c r="A3" s="10" t="s">
        <v>73</v>
      </c>
      <c r="B3" s="12">
        <f>AVERAGE(raw_data!C:C)</f>
        <v>388749.89285714284</v>
      </c>
      <c r="D3" s="11" t="s">
        <v>13</v>
      </c>
      <c r="E3" s="14">
        <f>COUNTIF(raw_data!E:E,"Diesel")</f>
        <v>14</v>
      </c>
    </row>
    <row r="4" spans="1:13">
      <c r="A4" s="10" t="s">
        <v>74</v>
      </c>
      <c r="B4" s="15" t="s">
        <v>46</v>
      </c>
      <c r="E4" s="8"/>
      <c r="F4" s="13"/>
    </row>
    <row r="5" spans="1:13">
      <c r="A5" s="10" t="s">
        <v>75</v>
      </c>
      <c r="B5" s="16">
        <f>COUNTIF(raw_data!H:H,"First Owner")/(COUNTA(raw_data!A:A)-1)</f>
        <v>0.4642857142857143</v>
      </c>
    </row>
  </sheetData>
  <mergeCells count="1">
    <mergeCell ref="G1:M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E873B-999F-4F7A-83A7-1ECF072C27F3}">
  <dimension ref="A1:J29"/>
  <sheetViews>
    <sheetView topLeftCell="A2" workbookViewId="0">
      <selection sqref="A1:J29"/>
    </sheetView>
  </sheetViews>
  <sheetFormatPr defaultRowHeight="14.4"/>
  <cols>
    <col min="1" max="1" width="34.21875" customWidth="1"/>
  </cols>
  <sheetData>
    <row r="1" spans="1:10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42</v>
      </c>
      <c r="J1" t="s">
        <v>43</v>
      </c>
    </row>
    <row r="2" spans="1:10">
      <c r="A2" t="s">
        <v>8</v>
      </c>
      <c r="B2">
        <v>2007</v>
      </c>
      <c r="C2" s="1">
        <v>60000</v>
      </c>
      <c r="D2">
        <v>70000</v>
      </c>
      <c r="E2" t="s">
        <v>9</v>
      </c>
      <c r="F2" t="s">
        <v>10</v>
      </c>
      <c r="G2" t="s">
        <v>11</v>
      </c>
      <c r="H2" t="s">
        <v>12</v>
      </c>
      <c r="I2">
        <f ca="1">YEAR(TODAY( ))-B2</f>
        <v>19</v>
      </c>
      <c r="J2" t="str">
        <f t="shared" ref="J2:J29" si="0">IF(C2&lt;5,"BUDGET",IF(C2&lt;=10,"MID RANGE","PREMIUM"))</f>
        <v>PREMIUM</v>
      </c>
    </row>
    <row r="3" spans="1:10">
      <c r="A3" t="s">
        <v>35</v>
      </c>
      <c r="B3">
        <v>2019</v>
      </c>
      <c r="C3" s="1">
        <v>2800000</v>
      </c>
      <c r="D3">
        <v>10000</v>
      </c>
      <c r="E3" t="s">
        <v>13</v>
      </c>
      <c r="F3" t="s">
        <v>10</v>
      </c>
      <c r="G3" t="s">
        <v>15</v>
      </c>
      <c r="H3" t="s">
        <v>12</v>
      </c>
      <c r="I3">
        <f t="shared" ref="I3:I29" ca="1" si="1">YEAR(TODAY( ))-B3</f>
        <v>7</v>
      </c>
      <c r="J3" t="str">
        <f>IF(C3&lt;5,"BUDGET",IF(C3&lt;=10,"MID RANGE","PREMIUM"))</f>
        <v>PREMIUM</v>
      </c>
    </row>
    <row r="4" spans="1:10">
      <c r="A4" t="s">
        <v>19</v>
      </c>
      <c r="B4">
        <v>2015</v>
      </c>
      <c r="C4" s="1">
        <v>470000</v>
      </c>
      <c r="D4">
        <v>170000</v>
      </c>
      <c r="E4" t="s">
        <v>13</v>
      </c>
      <c r="F4" t="s">
        <v>10</v>
      </c>
      <c r="G4" t="s">
        <v>11</v>
      </c>
      <c r="H4" t="s">
        <v>12</v>
      </c>
      <c r="I4">
        <f t="shared" ca="1" si="1"/>
        <v>11</v>
      </c>
      <c r="J4" t="str">
        <f t="shared" si="0"/>
        <v>PREMIUM</v>
      </c>
    </row>
    <row r="5" spans="1:10">
      <c r="A5" t="s">
        <v>32</v>
      </c>
      <c r="B5">
        <v>2017</v>
      </c>
      <c r="C5" s="1">
        <v>415000</v>
      </c>
      <c r="D5">
        <v>20000</v>
      </c>
      <c r="E5" t="s">
        <v>9</v>
      </c>
      <c r="F5" t="s">
        <v>10</v>
      </c>
      <c r="G5" t="s">
        <v>11</v>
      </c>
      <c r="H5" t="s">
        <v>12</v>
      </c>
      <c r="I5">
        <f t="shared" ca="1" si="1"/>
        <v>9</v>
      </c>
      <c r="J5" t="str">
        <f t="shared" si="0"/>
        <v>PREMIUM</v>
      </c>
    </row>
    <row r="6" spans="1:10">
      <c r="A6" t="s">
        <v>29</v>
      </c>
      <c r="B6">
        <v>2014</v>
      </c>
      <c r="C6" s="1">
        <v>500000</v>
      </c>
      <c r="D6">
        <v>82000</v>
      </c>
      <c r="E6" t="s">
        <v>13</v>
      </c>
      <c r="F6" t="s">
        <v>10</v>
      </c>
      <c r="G6" t="s">
        <v>11</v>
      </c>
      <c r="H6" t="s">
        <v>12</v>
      </c>
      <c r="I6">
        <f t="shared" ca="1" si="1"/>
        <v>12</v>
      </c>
      <c r="J6" t="str">
        <f t="shared" si="0"/>
        <v>PREMIUM</v>
      </c>
    </row>
    <row r="7" spans="1:10">
      <c r="A7" t="s">
        <v>36</v>
      </c>
      <c r="B7">
        <v>2013</v>
      </c>
      <c r="C7" s="1">
        <v>150000</v>
      </c>
      <c r="D7">
        <v>60000</v>
      </c>
      <c r="E7" t="s">
        <v>9</v>
      </c>
      <c r="F7" t="s">
        <v>10</v>
      </c>
      <c r="G7" t="s">
        <v>11</v>
      </c>
      <c r="H7" t="s">
        <v>14</v>
      </c>
      <c r="I7">
        <f t="shared" ca="1" si="1"/>
        <v>13</v>
      </c>
      <c r="J7" t="str">
        <f t="shared" si="0"/>
        <v>PREMIUM</v>
      </c>
    </row>
    <row r="8" spans="1:10">
      <c r="A8" t="s">
        <v>33</v>
      </c>
      <c r="B8">
        <v>2005</v>
      </c>
      <c r="C8" s="1">
        <v>95000</v>
      </c>
      <c r="D8">
        <v>50000</v>
      </c>
      <c r="E8" t="s">
        <v>9</v>
      </c>
      <c r="F8" t="s">
        <v>10</v>
      </c>
      <c r="G8" t="s">
        <v>11</v>
      </c>
      <c r="H8" t="s">
        <v>14</v>
      </c>
      <c r="I8">
        <f t="shared" ca="1" si="1"/>
        <v>21</v>
      </c>
      <c r="J8" t="str">
        <f t="shared" si="0"/>
        <v>PREMIUM</v>
      </c>
    </row>
    <row r="9" spans="1:10">
      <c r="A9" t="s">
        <v>37</v>
      </c>
      <c r="B9">
        <v>2012</v>
      </c>
      <c r="C9" s="1">
        <v>400000</v>
      </c>
      <c r="D9">
        <v>70000</v>
      </c>
      <c r="E9" t="s">
        <v>13</v>
      </c>
      <c r="F9" t="s">
        <v>10</v>
      </c>
      <c r="G9" t="s">
        <v>11</v>
      </c>
      <c r="H9" t="s">
        <v>12</v>
      </c>
      <c r="I9">
        <f t="shared" ca="1" si="1"/>
        <v>14</v>
      </c>
      <c r="J9" t="str">
        <f t="shared" si="0"/>
        <v>PREMIUM</v>
      </c>
    </row>
    <row r="10" spans="1:10">
      <c r="A10" t="s">
        <v>22</v>
      </c>
      <c r="B10">
        <v>2008</v>
      </c>
      <c r="C10" s="1">
        <v>114999</v>
      </c>
      <c r="D10">
        <v>66782</v>
      </c>
      <c r="E10" t="s">
        <v>9</v>
      </c>
      <c r="F10" t="s">
        <v>10</v>
      </c>
      <c r="G10" t="s">
        <v>11</v>
      </c>
      <c r="H10" t="s">
        <v>14</v>
      </c>
      <c r="I10">
        <f t="shared" ca="1" si="1"/>
        <v>18</v>
      </c>
      <c r="J10" t="str">
        <f t="shared" si="0"/>
        <v>PREMIUM</v>
      </c>
    </row>
    <row r="11" spans="1:10">
      <c r="A11" t="s">
        <v>22</v>
      </c>
      <c r="B11">
        <v>2006</v>
      </c>
      <c r="C11" s="1">
        <v>75000</v>
      </c>
      <c r="D11">
        <v>130000</v>
      </c>
      <c r="E11" t="s">
        <v>9</v>
      </c>
      <c r="F11" t="s">
        <v>10</v>
      </c>
      <c r="G11" t="s">
        <v>11</v>
      </c>
      <c r="H11" t="s">
        <v>12</v>
      </c>
      <c r="I11">
        <f t="shared" ca="1" si="1"/>
        <v>20</v>
      </c>
      <c r="J11" t="str">
        <f t="shared" si="0"/>
        <v>PREMIUM</v>
      </c>
    </row>
    <row r="12" spans="1:10">
      <c r="A12" t="s">
        <v>24</v>
      </c>
      <c r="B12">
        <v>2013</v>
      </c>
      <c r="C12" s="1">
        <v>500000</v>
      </c>
      <c r="D12">
        <v>120000</v>
      </c>
      <c r="E12" t="s">
        <v>13</v>
      </c>
      <c r="F12" t="s">
        <v>10</v>
      </c>
      <c r="G12" t="s">
        <v>11</v>
      </c>
      <c r="H12" t="s">
        <v>12</v>
      </c>
      <c r="I12">
        <f t="shared" ca="1" si="1"/>
        <v>13</v>
      </c>
      <c r="J12" t="str">
        <f t="shared" si="0"/>
        <v>PREMIUM</v>
      </c>
    </row>
    <row r="13" spans="1:10">
      <c r="A13" t="s">
        <v>8</v>
      </c>
      <c r="B13">
        <v>2014</v>
      </c>
      <c r="C13" s="1">
        <v>195000</v>
      </c>
      <c r="D13">
        <v>75000</v>
      </c>
      <c r="E13" t="s">
        <v>9</v>
      </c>
      <c r="F13" t="s">
        <v>10</v>
      </c>
      <c r="G13" t="s">
        <v>11</v>
      </c>
      <c r="H13" t="s">
        <v>14</v>
      </c>
      <c r="I13">
        <f t="shared" ca="1" si="1"/>
        <v>12</v>
      </c>
      <c r="J13" t="str">
        <f t="shared" si="0"/>
        <v>PREMIUM</v>
      </c>
    </row>
    <row r="14" spans="1:10">
      <c r="A14" t="s">
        <v>31</v>
      </c>
      <c r="B14">
        <v>2015</v>
      </c>
      <c r="C14" s="1">
        <v>155000</v>
      </c>
      <c r="D14">
        <v>40000</v>
      </c>
      <c r="E14" t="s">
        <v>9</v>
      </c>
      <c r="F14" t="s">
        <v>10</v>
      </c>
      <c r="G14" t="s">
        <v>11</v>
      </c>
      <c r="H14" t="s">
        <v>12</v>
      </c>
      <c r="I14">
        <f t="shared" ca="1" si="1"/>
        <v>11</v>
      </c>
      <c r="J14" t="str">
        <f t="shared" si="0"/>
        <v>PREMIUM</v>
      </c>
    </row>
    <row r="15" spans="1:10">
      <c r="A15" t="s">
        <v>17</v>
      </c>
      <c r="B15">
        <v>2000</v>
      </c>
      <c r="C15" s="1">
        <v>65000</v>
      </c>
      <c r="D15">
        <v>90000</v>
      </c>
      <c r="E15" t="s">
        <v>9</v>
      </c>
      <c r="F15" t="s">
        <v>10</v>
      </c>
      <c r="G15" t="s">
        <v>11</v>
      </c>
      <c r="H15" t="s">
        <v>14</v>
      </c>
      <c r="I15">
        <f t="shared" ca="1" si="1"/>
        <v>26</v>
      </c>
      <c r="J15" t="str">
        <f t="shared" si="0"/>
        <v>PREMIUM</v>
      </c>
    </row>
    <row r="16" spans="1:10">
      <c r="A16" t="s">
        <v>30</v>
      </c>
      <c r="B16">
        <v>2005</v>
      </c>
      <c r="C16" s="1">
        <v>65000</v>
      </c>
      <c r="D16">
        <v>150000</v>
      </c>
      <c r="E16" t="s">
        <v>9</v>
      </c>
      <c r="F16" t="s">
        <v>10</v>
      </c>
      <c r="G16" t="s">
        <v>11</v>
      </c>
      <c r="H16" t="s">
        <v>16</v>
      </c>
      <c r="I16">
        <f t="shared" ca="1" si="1"/>
        <v>21</v>
      </c>
      <c r="J16" t="str">
        <f t="shared" si="0"/>
        <v>PREMIUM</v>
      </c>
    </row>
    <row r="17" spans="1:10">
      <c r="A17" t="s">
        <v>38</v>
      </c>
      <c r="B17">
        <v>2015</v>
      </c>
      <c r="C17" s="1">
        <v>190000</v>
      </c>
      <c r="D17">
        <v>60000</v>
      </c>
      <c r="E17" t="s">
        <v>9</v>
      </c>
      <c r="F17" t="s">
        <v>10</v>
      </c>
      <c r="G17" t="s">
        <v>11</v>
      </c>
      <c r="H17" t="s">
        <v>14</v>
      </c>
      <c r="I17">
        <f t="shared" ca="1" si="1"/>
        <v>11</v>
      </c>
      <c r="J17" t="str">
        <f t="shared" si="0"/>
        <v>PREMIUM</v>
      </c>
    </row>
    <row r="18" spans="1:10">
      <c r="A18" t="s">
        <v>39</v>
      </c>
      <c r="B18">
        <v>2012</v>
      </c>
      <c r="C18" s="1">
        <v>200000</v>
      </c>
      <c r="D18">
        <v>112198</v>
      </c>
      <c r="E18" t="s">
        <v>13</v>
      </c>
      <c r="F18" t="s">
        <v>10</v>
      </c>
      <c r="G18" t="s">
        <v>11</v>
      </c>
      <c r="H18" t="s">
        <v>14</v>
      </c>
      <c r="I18">
        <f t="shared" ca="1" si="1"/>
        <v>14</v>
      </c>
      <c r="J18" t="str">
        <f t="shared" si="0"/>
        <v>PREMIUM</v>
      </c>
    </row>
    <row r="19" spans="1:10">
      <c r="A19" t="s">
        <v>34</v>
      </c>
      <c r="B19">
        <v>2010</v>
      </c>
      <c r="C19" s="1">
        <v>160000</v>
      </c>
      <c r="D19">
        <v>60000</v>
      </c>
      <c r="E19" t="s">
        <v>9</v>
      </c>
      <c r="F19" t="s">
        <v>10</v>
      </c>
      <c r="G19" t="s">
        <v>11</v>
      </c>
      <c r="H19" t="s">
        <v>14</v>
      </c>
      <c r="I19">
        <f t="shared" ca="1" si="1"/>
        <v>16</v>
      </c>
      <c r="J19" t="str">
        <f t="shared" si="0"/>
        <v>PREMIUM</v>
      </c>
    </row>
    <row r="20" spans="1:10">
      <c r="A20" t="s">
        <v>20</v>
      </c>
      <c r="B20">
        <v>2010</v>
      </c>
      <c r="C20" s="1">
        <v>150000</v>
      </c>
      <c r="D20">
        <v>130000</v>
      </c>
      <c r="E20" t="s">
        <v>13</v>
      </c>
      <c r="F20" t="s">
        <v>10</v>
      </c>
      <c r="G20" t="s">
        <v>11</v>
      </c>
      <c r="H20" t="s">
        <v>14</v>
      </c>
      <c r="I20">
        <f t="shared" ca="1" si="1"/>
        <v>16</v>
      </c>
      <c r="J20" t="str">
        <f t="shared" si="0"/>
        <v>PREMIUM</v>
      </c>
    </row>
    <row r="21" spans="1:10">
      <c r="A21" t="s">
        <v>26</v>
      </c>
      <c r="B21">
        <v>2015</v>
      </c>
      <c r="C21" s="1">
        <v>530000</v>
      </c>
      <c r="D21">
        <v>175000</v>
      </c>
      <c r="E21" t="s">
        <v>13</v>
      </c>
      <c r="F21" t="s">
        <v>10</v>
      </c>
      <c r="G21" t="s">
        <v>11</v>
      </c>
      <c r="H21" t="s">
        <v>16</v>
      </c>
      <c r="I21">
        <f t="shared" ca="1" si="1"/>
        <v>11</v>
      </c>
      <c r="J21" t="str">
        <f t="shared" si="0"/>
        <v>PREMIUM</v>
      </c>
    </row>
    <row r="22" spans="1:10">
      <c r="A22" t="s">
        <v>28</v>
      </c>
      <c r="B22">
        <v>2015</v>
      </c>
      <c r="C22" s="1">
        <v>750000</v>
      </c>
      <c r="D22">
        <v>120000</v>
      </c>
      <c r="E22" t="s">
        <v>13</v>
      </c>
      <c r="F22" t="s">
        <v>10</v>
      </c>
      <c r="G22" t="s">
        <v>11</v>
      </c>
      <c r="H22" t="s">
        <v>12</v>
      </c>
      <c r="I22">
        <f t="shared" ca="1" si="1"/>
        <v>11</v>
      </c>
      <c r="J22" t="str">
        <f t="shared" si="0"/>
        <v>PREMIUM</v>
      </c>
    </row>
    <row r="23" spans="1:10">
      <c r="A23" t="s">
        <v>25</v>
      </c>
      <c r="B23">
        <v>2012</v>
      </c>
      <c r="C23" s="1">
        <v>225000</v>
      </c>
      <c r="D23">
        <v>90000</v>
      </c>
      <c r="E23" t="s">
        <v>13</v>
      </c>
      <c r="F23" t="s">
        <v>10</v>
      </c>
      <c r="G23" t="s">
        <v>11</v>
      </c>
      <c r="H23" t="s">
        <v>14</v>
      </c>
      <c r="I23">
        <f t="shared" ca="1" si="1"/>
        <v>14</v>
      </c>
      <c r="J23" t="str">
        <f t="shared" si="0"/>
        <v>PREMIUM</v>
      </c>
    </row>
    <row r="24" spans="1:10">
      <c r="A24" t="s">
        <v>40</v>
      </c>
      <c r="B24">
        <v>2012</v>
      </c>
      <c r="C24" s="1">
        <v>600000</v>
      </c>
      <c r="D24">
        <v>170000</v>
      </c>
      <c r="E24" t="s">
        <v>13</v>
      </c>
      <c r="F24" t="s">
        <v>10</v>
      </c>
      <c r="G24" t="s">
        <v>11</v>
      </c>
      <c r="H24" t="s">
        <v>12</v>
      </c>
      <c r="I24">
        <f t="shared" ca="1" si="1"/>
        <v>14</v>
      </c>
      <c r="J24" t="str">
        <f t="shared" si="0"/>
        <v>PREMIUM</v>
      </c>
    </row>
    <row r="25" spans="1:10">
      <c r="A25" t="s">
        <v>23</v>
      </c>
      <c r="B25">
        <v>2014</v>
      </c>
      <c r="C25" s="1">
        <v>409999</v>
      </c>
      <c r="D25">
        <v>80000</v>
      </c>
      <c r="E25" t="s">
        <v>13</v>
      </c>
      <c r="F25" t="s">
        <v>10</v>
      </c>
      <c r="G25" t="s">
        <v>11</v>
      </c>
      <c r="H25" t="s">
        <v>14</v>
      </c>
      <c r="I25">
        <f t="shared" ca="1" si="1"/>
        <v>12</v>
      </c>
      <c r="J25" t="str">
        <f t="shared" si="0"/>
        <v>PREMIUM</v>
      </c>
    </row>
    <row r="26" spans="1:10">
      <c r="A26" t="s">
        <v>41</v>
      </c>
      <c r="B26">
        <v>2014</v>
      </c>
      <c r="C26" s="1">
        <v>409999</v>
      </c>
      <c r="D26">
        <v>80000</v>
      </c>
      <c r="E26" t="s">
        <v>13</v>
      </c>
      <c r="F26" t="s">
        <v>10</v>
      </c>
      <c r="G26" t="s">
        <v>11</v>
      </c>
      <c r="H26" t="s">
        <v>14</v>
      </c>
      <c r="I26">
        <f t="shared" ca="1" si="1"/>
        <v>12</v>
      </c>
      <c r="J26" t="str">
        <f t="shared" si="0"/>
        <v>PREMIUM</v>
      </c>
    </row>
    <row r="27" spans="1:10">
      <c r="A27" t="s">
        <v>21</v>
      </c>
      <c r="B27">
        <v>2009</v>
      </c>
      <c r="C27" s="1">
        <v>110000</v>
      </c>
      <c r="D27">
        <v>83000</v>
      </c>
      <c r="E27" t="s">
        <v>9</v>
      </c>
      <c r="F27" t="s">
        <v>10</v>
      </c>
      <c r="G27" t="s">
        <v>11</v>
      </c>
      <c r="H27" t="s">
        <v>14</v>
      </c>
      <c r="I27">
        <f t="shared" ca="1" si="1"/>
        <v>17</v>
      </c>
      <c r="J27" t="str">
        <f t="shared" si="0"/>
        <v>PREMIUM</v>
      </c>
    </row>
    <row r="28" spans="1:10">
      <c r="A28" t="s">
        <v>27</v>
      </c>
      <c r="B28">
        <v>2016</v>
      </c>
      <c r="C28" s="1">
        <v>865000</v>
      </c>
      <c r="D28">
        <v>90000</v>
      </c>
      <c r="E28" t="s">
        <v>13</v>
      </c>
      <c r="F28" t="s">
        <v>10</v>
      </c>
      <c r="G28" t="s">
        <v>11</v>
      </c>
      <c r="H28" t="s">
        <v>12</v>
      </c>
      <c r="I28">
        <f t="shared" ca="1" si="1"/>
        <v>10</v>
      </c>
      <c r="J28" t="str">
        <f t="shared" si="0"/>
        <v>PREMIUM</v>
      </c>
    </row>
    <row r="29" spans="1:10">
      <c r="A29" t="s">
        <v>18</v>
      </c>
      <c r="B29">
        <v>2016</v>
      </c>
      <c r="C29" s="1">
        <v>225000</v>
      </c>
      <c r="D29">
        <v>40000</v>
      </c>
      <c r="E29" t="s">
        <v>9</v>
      </c>
      <c r="F29" t="s">
        <v>10</v>
      </c>
      <c r="G29" t="s">
        <v>11</v>
      </c>
      <c r="H29" t="s">
        <v>12</v>
      </c>
      <c r="I29">
        <f t="shared" ca="1" si="1"/>
        <v>10</v>
      </c>
      <c r="J29" t="str">
        <f t="shared" si="0"/>
        <v>PREMIUM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24C85-AC3A-444A-8920-5EF68CD39D06}">
  <dimension ref="A1:B30"/>
  <sheetViews>
    <sheetView topLeftCell="A10" workbookViewId="0">
      <selection activeCell="E27" sqref="E27"/>
    </sheetView>
  </sheetViews>
  <sheetFormatPr defaultRowHeight="14.4"/>
  <cols>
    <col min="1" max="1" width="21.21875" customWidth="1"/>
    <col min="2" max="2" width="31.77734375" customWidth="1"/>
    <col min="3" max="3" width="18.44140625" customWidth="1"/>
  </cols>
  <sheetData>
    <row r="1" spans="1:2">
      <c r="A1" s="2" t="s">
        <v>44</v>
      </c>
      <c r="B1" s="2">
        <f>COUNTA(raw_data!A:A)-1</f>
        <v>28</v>
      </c>
    </row>
    <row r="2" spans="1:2">
      <c r="A2" s="2" t="s">
        <v>45</v>
      </c>
      <c r="B2" s="3">
        <f>AVERAGE(raw_data!C:C)</f>
        <v>388749.89285714284</v>
      </c>
    </row>
    <row r="6" spans="1:2">
      <c r="A6" s="2" t="s">
        <v>48</v>
      </c>
      <c r="B6" s="2" t="s">
        <v>50</v>
      </c>
    </row>
    <row r="7" spans="1:2">
      <c r="A7" s="2" t="s">
        <v>46</v>
      </c>
      <c r="B7" s="2">
        <f>COUNTIF(raw_data!E:E,"Petrol")</f>
        <v>14</v>
      </c>
    </row>
    <row r="8" spans="1:2">
      <c r="A8" s="2" t="s">
        <v>47</v>
      </c>
      <c r="B8" s="2">
        <f>COUNTIF(raw_data!E:E,"Diesel")</f>
        <v>14</v>
      </c>
    </row>
    <row r="9" spans="1:2">
      <c r="A9" s="2" t="s">
        <v>49</v>
      </c>
      <c r="B9" s="2">
        <f>COUNTIF(raw_data!E:E,"CNG")</f>
        <v>0</v>
      </c>
    </row>
    <row r="11" spans="1:2">
      <c r="A11" s="2" t="s">
        <v>52</v>
      </c>
      <c r="B11" s="2" t="s">
        <v>53</v>
      </c>
    </row>
    <row r="12" spans="1:2">
      <c r="A12" s="2" t="s">
        <v>54</v>
      </c>
      <c r="B12" s="2">
        <f>COUNTIF(raw_data!G:G, "Manual")</f>
        <v>27</v>
      </c>
    </row>
    <row r="13" spans="1:2">
      <c r="A13" s="2" t="s">
        <v>51</v>
      </c>
      <c r="B13" s="2">
        <f>COUNTIF(raw_data!G:G, "Automatic")</f>
        <v>1</v>
      </c>
    </row>
    <row r="15" spans="1:2">
      <c r="A15" s="2" t="s">
        <v>55</v>
      </c>
      <c r="B15" s="2" t="s">
        <v>53</v>
      </c>
    </row>
    <row r="16" spans="1:2">
      <c r="A16" s="2" t="s">
        <v>56</v>
      </c>
      <c r="B16" s="2">
        <f>COUNTIF(raw_data!F:F, "Dealer")</f>
        <v>0</v>
      </c>
    </row>
    <row r="17" spans="1:2">
      <c r="A17" s="2" t="s">
        <v>57</v>
      </c>
      <c r="B17" s="2">
        <f>COUNTIF(raw_data!F:F, "Individual")</f>
        <v>28</v>
      </c>
    </row>
    <row r="18" spans="1:2">
      <c r="A18" s="2" t="s">
        <v>58</v>
      </c>
      <c r="B18" s="2">
        <f>COUNTIF(raw_data!F:F, "Trustmark Dealer")</f>
        <v>0</v>
      </c>
    </row>
    <row r="20" spans="1:2">
      <c r="A20" s="2" t="s">
        <v>59</v>
      </c>
      <c r="B20" s="2" t="s">
        <v>45</v>
      </c>
    </row>
    <row r="21" spans="1:2">
      <c r="A21" s="2" t="s">
        <v>46</v>
      </c>
      <c r="B21" s="2">
        <f>AVERAGEIF(raw_data!E:E, "Petrol", raw_data!C:C)</f>
        <v>148214.21428571429</v>
      </c>
    </row>
    <row r="22" spans="1:2">
      <c r="A22" s="2" t="s">
        <v>47</v>
      </c>
      <c r="B22" s="2">
        <f>AVERAGEIF(raw_data!E:E, "diesel", raw_data!C:C)</f>
        <v>629285.57142857148</v>
      </c>
    </row>
    <row r="23" spans="1:2">
      <c r="A23" s="2" t="s">
        <v>49</v>
      </c>
      <c r="B23" s="2">
        <v>0</v>
      </c>
    </row>
    <row r="25" spans="1:2">
      <c r="A25" s="4" t="s">
        <v>60</v>
      </c>
      <c r="B25" s="5">
        <f ca="1">COUNTIF(raw_data!I:I,"&gt;10")</f>
        <v>24</v>
      </c>
    </row>
    <row r="27" spans="1:2">
      <c r="A27" s="2" t="s">
        <v>61</v>
      </c>
      <c r="B27" s="2" t="s">
        <v>62</v>
      </c>
    </row>
    <row r="28" spans="1:2">
      <c r="A28" s="2" t="s">
        <v>63</v>
      </c>
      <c r="B28" s="2">
        <f>COUNTIF(raw_data!H:H, "First Owner")</f>
        <v>13</v>
      </c>
    </row>
    <row r="29" spans="1:2">
      <c r="A29" s="2" t="s">
        <v>64</v>
      </c>
      <c r="B29" s="2">
        <f>COUNTA(raw_data!A:A)</f>
        <v>29</v>
      </c>
    </row>
    <row r="30" spans="1:2">
      <c r="A30" s="2" t="s">
        <v>65</v>
      </c>
      <c r="B30" s="2">
        <f>B28/B29</f>
        <v>0.44827586206896552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F2F7DB-B37A-41B6-870F-DB29E3FA4A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 DETAILS FROM CAR DEKHO</vt:lpstr>
      <vt:lpstr>pivot table</vt:lpstr>
      <vt:lpstr>dashboard</vt:lpstr>
      <vt:lpstr>raw_data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 kakati</dc:creator>
  <cp:lastModifiedBy>jes kakati</cp:lastModifiedBy>
  <cp:lastPrinted>2026-02-24T19:01:00Z</cp:lastPrinted>
  <dcterms:created xsi:type="dcterms:W3CDTF">2026-02-24T16:05:03Z</dcterms:created>
  <dcterms:modified xsi:type="dcterms:W3CDTF">2026-02-26T07:34:55Z</dcterms:modified>
</cp:coreProperties>
</file>